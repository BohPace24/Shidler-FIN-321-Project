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bohdenpace/Desktop/Fin 321/"/>
    </mc:Choice>
  </mc:AlternateContent>
  <xr:revisionPtr revIDLastSave="0" documentId="13_ncr:1_{635E6B05-9D33-CA48-889D-7C19820C4E88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Main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32" i="1"/>
  <c r="A32" i="1"/>
  <c r="B31" i="1"/>
  <c r="A31" i="1"/>
  <c r="B30" i="1"/>
  <c r="A30" i="1"/>
  <c r="B29" i="1"/>
  <c r="A29" i="1"/>
  <c r="B28" i="1"/>
  <c r="A28" i="1"/>
  <c r="A27" i="1"/>
  <c r="B26" i="1"/>
  <c r="A26" i="1"/>
  <c r="D26" i="1" s="1"/>
  <c r="B25" i="1"/>
  <c r="A25" i="1"/>
  <c r="B24" i="1"/>
  <c r="A24" i="1"/>
  <c r="B23" i="1"/>
  <c r="A23" i="1"/>
  <c r="B22" i="1"/>
  <c r="A22" i="1"/>
  <c r="G10" i="1"/>
  <c r="G5" i="1"/>
  <c r="G6" i="1" s="1"/>
  <c r="G7" i="1" s="1"/>
  <c r="G14" i="1"/>
  <c r="G13" i="1"/>
  <c r="G2" i="1"/>
  <c r="E30" i="1" l="1"/>
  <c r="E29" i="1"/>
  <c r="E27" i="1"/>
  <c r="D27" i="1"/>
  <c r="D24" i="1"/>
  <c r="D29" i="1"/>
  <c r="E32" i="1"/>
  <c r="E24" i="1"/>
  <c r="E28" i="1"/>
  <c r="E31" i="1"/>
  <c r="E25" i="1"/>
  <c r="E22" i="1"/>
  <c r="E23" i="1"/>
  <c r="C29" i="1"/>
  <c r="C24" i="1"/>
  <c r="C27" i="1"/>
  <c r="C30" i="1"/>
  <c r="C22" i="1"/>
  <c r="C23" i="1"/>
  <c r="C32" i="1"/>
  <c r="C25" i="1"/>
  <c r="C28" i="1"/>
  <c r="C31" i="1"/>
  <c r="C26" i="1"/>
  <c r="D23" i="1"/>
  <c r="E26" i="1"/>
  <c r="D31" i="1"/>
  <c r="D28" i="1"/>
  <c r="D25" i="1"/>
  <c r="D22" i="1"/>
  <c r="D30" i="1"/>
  <c r="D32" i="1"/>
</calcChain>
</file>

<file path=xl/sharedStrings.xml><?xml version="1.0" encoding="utf-8"?>
<sst xmlns="http://schemas.openxmlformats.org/spreadsheetml/2006/main" count="60" uniqueCount="55">
  <si>
    <t>INPUTS (Editable)</t>
  </si>
  <si>
    <t>Forward Hedge</t>
  </si>
  <si>
    <t>Option Premium FV</t>
  </si>
  <si>
    <t>FC_AMT</t>
  </si>
  <si>
    <t>USD_forward</t>
  </si>
  <si>
    <t>Put Premium FV</t>
  </si>
  <si>
    <t>Call Premium FV</t>
  </si>
  <si>
    <t>Money Market Hedge</t>
  </si>
  <si>
    <t>r_USD</t>
  </si>
  <si>
    <t>PV_EUR</t>
  </si>
  <si>
    <t>r_EUR</t>
  </si>
  <si>
    <t>PV_USD</t>
  </si>
  <si>
    <t>t</t>
  </si>
  <si>
    <t>USD_MM</t>
  </si>
  <si>
    <t>K_put</t>
  </si>
  <si>
    <t>K_call</t>
  </si>
  <si>
    <t>IRP Forward</t>
  </si>
  <si>
    <t>Premium_put</t>
  </si>
  <si>
    <t>F_IRP</t>
  </si>
  <si>
    <t>Premium_call</t>
  </si>
  <si>
    <t>Sensitivity Analysis</t>
  </si>
  <si>
    <t>S_T</t>
  </si>
  <si>
    <t>Forward</t>
  </si>
  <si>
    <t>Money Market</t>
  </si>
  <si>
    <t>Put</t>
  </si>
  <si>
    <t>Call</t>
  </si>
  <si>
    <t>NOTES</t>
  </si>
  <si>
    <t>Variable</t>
  </si>
  <si>
    <t>Value</t>
  </si>
  <si>
    <t>Unit</t>
  </si>
  <si>
    <t>Description</t>
  </si>
  <si>
    <t>EUR</t>
  </si>
  <si>
    <t>Foreign-currency receivable</t>
  </si>
  <si>
    <r>
      <t>S</t>
    </r>
    <r>
      <rPr>
        <vertAlign val="subscript"/>
        <sz val="11"/>
        <color theme="1"/>
        <rFont val="Calibri (Body)"/>
      </rPr>
      <t>0</t>
    </r>
  </si>
  <si>
    <t>USD/EUR</t>
  </si>
  <si>
    <t>Current EURUSD spot rate</t>
  </si>
  <si>
    <r>
      <t>F</t>
    </r>
    <r>
      <rPr>
        <vertAlign val="subscript"/>
        <sz val="11"/>
        <color theme="1"/>
        <rFont val="Calibri (Body)"/>
      </rPr>
      <t>0</t>
    </r>
  </si>
  <si>
    <t>1-year EURUSD forward rate</t>
  </si>
  <si>
    <t>decimal</t>
  </si>
  <si>
    <t>USD 1-year interest rate</t>
  </si>
  <si>
    <t>EUR 1-year interest rate</t>
  </si>
  <si>
    <t>years</t>
  </si>
  <si>
    <t>Time to maturity</t>
  </si>
  <si>
    <t>EUR put strike</t>
  </si>
  <si>
    <t>EUR call strike</t>
  </si>
  <si>
    <t>USD notional fraction</t>
  </si>
  <si>
    <t>Put premium (per notional)</t>
  </si>
  <si>
    <t>Call premium (per notional)</t>
  </si>
  <si>
    <t>Notes and Assumptions:</t>
  </si>
  <si>
    <t>-All exchange rates are USD per EUR</t>
  </si>
  <si>
    <t>-Interest rates are simple annual rates, not compunded, for 1 year maturity.</t>
  </si>
  <si>
    <t>-Option premiums are for the full 20,00,000 EUR and are paid upfront at t=0</t>
  </si>
  <si>
    <t>-future value of premiums is computed by compounding at r_USD for one year</t>
  </si>
  <si>
    <t>-Money market hedge uses borrowing in EUR at r_EUR, converting to USD and investing at r_USD</t>
  </si>
  <si>
    <t>Bohden Pace-Scenario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</si>
</sst>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 (Body)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4" fontId="0" fillId="2" borderId="1" xfId="0" applyNumberFormat="1" applyFill="1" applyBorder="1"/>
    <xf numFmtId="0" fontId="0" fillId="2" borderId="1" xfId="0" applyFill="1" applyBorder="1"/>
    <xf numFmtId="0" fontId="3" fillId="0" borderId="1" xfId="0" applyFont="1" applyBorder="1" applyAlignment="1">
      <alignment horizontal="center"/>
    </xf>
    <xf numFmtId="44" fontId="0" fillId="0" borderId="1" xfId="1" applyFont="1" applyBorder="1"/>
    <xf numFmtId="4" fontId="0" fillId="0" borderId="1" xfId="0" applyNumberFormat="1" applyBorder="1"/>
    <xf numFmtId="4" fontId="0" fillId="0" borderId="0" xfId="0" applyNumberFormat="1"/>
    <xf numFmtId="0" fontId="3" fillId="3" borderId="1" xfId="0" applyFont="1" applyFill="1" applyBorder="1" applyAlignment="1">
      <alignment horizontal="center" vertical="top"/>
    </xf>
    <xf numFmtId="0" fontId="3" fillId="0" borderId="0" xfId="0" applyFont="1"/>
    <xf numFmtId="49" fontId="0" fillId="0" borderId="0" xfId="0" applyNumberFormat="1"/>
    <xf numFmtId="0" fontId="3" fillId="3" borderId="0" xfId="0" applyFont="1" applyFill="1"/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0" borderId="0" xfId="0" applyFont="1"/>
    <xf numFmtId="0" fontId="3" fillId="3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</a:t>
            </a:r>
            <a:r>
              <a:rPr lang="en-US" baseline="0"/>
              <a:t> Analysis from 0.95xSo to 1.05xSo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Main!$B$20:$B$21</c:f>
              <c:strCache>
                <c:ptCount val="2"/>
                <c:pt idx="0">
                  <c:v>Sensitivity Analysis</c:v>
                </c:pt>
                <c:pt idx="1">
                  <c:v>Forward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Main!$A$22:$A$32</c:f>
              <c:numCache>
                <c:formatCode>General</c:formatCode>
                <c:ptCount val="11"/>
                <c:pt idx="0">
                  <c:v>1.0393950000000001</c:v>
                </c:pt>
                <c:pt idx="1">
                  <c:v>1.0503359999999999</c:v>
                </c:pt>
                <c:pt idx="2">
                  <c:v>1.061277</c:v>
                </c:pt>
                <c:pt idx="3">
                  <c:v>1.0722180000000001</c:v>
                </c:pt>
                <c:pt idx="4">
                  <c:v>1.083159</c:v>
                </c:pt>
                <c:pt idx="5">
                  <c:v>1.0941000000000001</c:v>
                </c:pt>
                <c:pt idx="6">
                  <c:v>1.1050410000000002</c:v>
                </c:pt>
                <c:pt idx="7">
                  <c:v>1.115982</c:v>
                </c:pt>
                <c:pt idx="8">
                  <c:v>1.1269230000000001</c:v>
                </c:pt>
                <c:pt idx="9">
                  <c:v>1.1378640000000002</c:v>
                </c:pt>
                <c:pt idx="10">
                  <c:v>1.1488050000000001</c:v>
                </c:pt>
              </c:numCache>
            </c:numRef>
          </c:cat>
          <c:val>
            <c:numRef>
              <c:f>Main!$B$22:$B$32</c:f>
              <c:numCache>
                <c:formatCode>_("$"* #,##0.00_);_("$"* \(#,##0.00\);_("$"* "-"??_);_(@_)</c:formatCode>
                <c:ptCount val="11"/>
                <c:pt idx="0">
                  <c:v>21870000</c:v>
                </c:pt>
                <c:pt idx="1">
                  <c:v>21870000</c:v>
                </c:pt>
                <c:pt idx="2">
                  <c:v>21870000</c:v>
                </c:pt>
                <c:pt idx="3">
                  <c:v>21870000</c:v>
                </c:pt>
                <c:pt idx="4">
                  <c:v>21870000</c:v>
                </c:pt>
                <c:pt idx="5">
                  <c:v>21870000</c:v>
                </c:pt>
                <c:pt idx="6">
                  <c:v>21870000</c:v>
                </c:pt>
                <c:pt idx="7">
                  <c:v>21870000</c:v>
                </c:pt>
                <c:pt idx="8">
                  <c:v>21870000</c:v>
                </c:pt>
                <c:pt idx="9">
                  <c:v>21870000</c:v>
                </c:pt>
                <c:pt idx="10">
                  <c:v>21870000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7-904B-8DA0-C1116904D2D9}"/>
            </c:ext>
          </c:extLst>
        </c:ser>
        <c:ser>
          <c:idx val="1"/>
          <c:order val="1"/>
          <c:tx>
            <c:strRef>
              <c:f>Main!$C$20:$C$21</c:f>
              <c:strCache>
                <c:ptCount val="2"/>
                <c:pt idx="0">
                  <c:v>Sensitivity Analysis</c:v>
                </c:pt>
                <c:pt idx="1">
                  <c:v>Money Market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Main!$A$22:$A$32</c:f>
              <c:numCache>
                <c:formatCode>General</c:formatCode>
                <c:ptCount val="11"/>
                <c:pt idx="0">
                  <c:v>1.0393950000000001</c:v>
                </c:pt>
                <c:pt idx="1">
                  <c:v>1.0503359999999999</c:v>
                </c:pt>
                <c:pt idx="2">
                  <c:v>1.061277</c:v>
                </c:pt>
                <c:pt idx="3">
                  <c:v>1.0722180000000001</c:v>
                </c:pt>
                <c:pt idx="4">
                  <c:v>1.083159</c:v>
                </c:pt>
                <c:pt idx="5">
                  <c:v>1.0941000000000001</c:v>
                </c:pt>
                <c:pt idx="6">
                  <c:v>1.1050410000000002</c:v>
                </c:pt>
                <c:pt idx="7">
                  <c:v>1.115982</c:v>
                </c:pt>
                <c:pt idx="8">
                  <c:v>1.1269230000000001</c:v>
                </c:pt>
                <c:pt idx="9">
                  <c:v>1.1378640000000002</c:v>
                </c:pt>
                <c:pt idx="10">
                  <c:v>1.1488050000000001</c:v>
                </c:pt>
              </c:numCache>
            </c:numRef>
          </c:cat>
          <c:val>
            <c:numRef>
              <c:f>Main!$C$22:$C$32</c:f>
              <c:numCache>
                <c:formatCode>_("$"* #,##0.00_);_("$"* \(#,##0.00\);_("$"* "-"??_);_(@_)</c:formatCode>
                <c:ptCount val="11"/>
                <c:pt idx="0">
                  <c:v>22301860.205580026</c:v>
                </c:pt>
                <c:pt idx="1">
                  <c:v>22301860.205580026</c:v>
                </c:pt>
                <c:pt idx="2">
                  <c:v>22301860.205580026</c:v>
                </c:pt>
                <c:pt idx="3">
                  <c:v>22301860.205580026</c:v>
                </c:pt>
                <c:pt idx="4">
                  <c:v>22301860.205580026</c:v>
                </c:pt>
                <c:pt idx="5">
                  <c:v>22301860.205580026</c:v>
                </c:pt>
                <c:pt idx="6">
                  <c:v>22301860.205580026</c:v>
                </c:pt>
                <c:pt idx="7">
                  <c:v>22301860.205580026</c:v>
                </c:pt>
                <c:pt idx="8">
                  <c:v>22301860.205580026</c:v>
                </c:pt>
                <c:pt idx="9">
                  <c:v>22301860.205580026</c:v>
                </c:pt>
                <c:pt idx="10">
                  <c:v>22301860.205580026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D7-904B-8DA0-C1116904D2D9}"/>
            </c:ext>
          </c:extLst>
        </c:ser>
        <c:ser>
          <c:idx val="2"/>
          <c:order val="2"/>
          <c:tx>
            <c:strRef>
              <c:f>Main!$D$20:$D$21</c:f>
              <c:strCache>
                <c:ptCount val="2"/>
                <c:pt idx="0">
                  <c:v>Sensitivity Analysis</c:v>
                </c:pt>
                <c:pt idx="1">
                  <c:v>Put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Main!$A$22:$A$32</c:f>
              <c:numCache>
                <c:formatCode>General</c:formatCode>
                <c:ptCount val="11"/>
                <c:pt idx="0">
                  <c:v>1.0393950000000001</c:v>
                </c:pt>
                <c:pt idx="1">
                  <c:v>1.0503359999999999</c:v>
                </c:pt>
                <c:pt idx="2">
                  <c:v>1.061277</c:v>
                </c:pt>
                <c:pt idx="3">
                  <c:v>1.0722180000000001</c:v>
                </c:pt>
                <c:pt idx="4">
                  <c:v>1.083159</c:v>
                </c:pt>
                <c:pt idx="5">
                  <c:v>1.0941000000000001</c:v>
                </c:pt>
                <c:pt idx="6">
                  <c:v>1.1050410000000002</c:v>
                </c:pt>
                <c:pt idx="7">
                  <c:v>1.115982</c:v>
                </c:pt>
                <c:pt idx="8">
                  <c:v>1.1269230000000001</c:v>
                </c:pt>
                <c:pt idx="9">
                  <c:v>1.1378640000000002</c:v>
                </c:pt>
                <c:pt idx="10">
                  <c:v>1.1488050000000001</c:v>
                </c:pt>
              </c:numCache>
            </c:numRef>
          </c:cat>
          <c:val>
            <c:numRef>
              <c:f>Main!$D$22:$D$32</c:f>
              <c:numCache>
                <c:formatCode>_("$"* #,##0.00_);_("$"* \(#,##0.00\);_("$"* "-"??_);_(@_)</c:formatCode>
                <c:ptCount val="11"/>
                <c:pt idx="0">
                  <c:v>22816382</c:v>
                </c:pt>
                <c:pt idx="1">
                  <c:v>22816382</c:v>
                </c:pt>
                <c:pt idx="2">
                  <c:v>22816382</c:v>
                </c:pt>
                <c:pt idx="3">
                  <c:v>22816382</c:v>
                </c:pt>
                <c:pt idx="4">
                  <c:v>22816382</c:v>
                </c:pt>
                <c:pt idx="5">
                  <c:v>22816382</c:v>
                </c:pt>
                <c:pt idx="6">
                  <c:v>22816382</c:v>
                </c:pt>
                <c:pt idx="7">
                  <c:v>22816382</c:v>
                </c:pt>
                <c:pt idx="8">
                  <c:v>22816382</c:v>
                </c:pt>
                <c:pt idx="9">
                  <c:v>22816382</c:v>
                </c:pt>
                <c:pt idx="10">
                  <c:v>22816382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D7-904B-8DA0-C1116904D2D9}"/>
            </c:ext>
          </c:extLst>
        </c:ser>
        <c:ser>
          <c:idx val="3"/>
          <c:order val="3"/>
          <c:tx>
            <c:strRef>
              <c:f>Main!$E$20:$E$21</c:f>
              <c:strCache>
                <c:ptCount val="2"/>
                <c:pt idx="0">
                  <c:v>Sensitivity Analysis</c:v>
                </c:pt>
                <c:pt idx="1">
                  <c:v>Call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Main!$A$22:$A$32</c:f>
              <c:numCache>
                <c:formatCode>General</c:formatCode>
                <c:ptCount val="11"/>
                <c:pt idx="0">
                  <c:v>1.0393950000000001</c:v>
                </c:pt>
                <c:pt idx="1">
                  <c:v>1.0503359999999999</c:v>
                </c:pt>
                <c:pt idx="2">
                  <c:v>1.061277</c:v>
                </c:pt>
                <c:pt idx="3">
                  <c:v>1.0722180000000001</c:v>
                </c:pt>
                <c:pt idx="4">
                  <c:v>1.083159</c:v>
                </c:pt>
                <c:pt idx="5">
                  <c:v>1.0941000000000001</c:v>
                </c:pt>
                <c:pt idx="6">
                  <c:v>1.1050410000000002</c:v>
                </c:pt>
                <c:pt idx="7">
                  <c:v>1.115982</c:v>
                </c:pt>
                <c:pt idx="8">
                  <c:v>1.1269230000000001</c:v>
                </c:pt>
                <c:pt idx="9">
                  <c:v>1.1378640000000002</c:v>
                </c:pt>
                <c:pt idx="10">
                  <c:v>1.1488050000000001</c:v>
                </c:pt>
              </c:numCache>
            </c:numRef>
          </c:cat>
          <c:val>
            <c:numRef>
              <c:f>Main!$E$22:$E$32</c:f>
              <c:numCache>
                <c:formatCode>_("$"* #,##0.00_);_("$"* \(#,##0.00\);_("$"* "-"??_);_(@_)</c:formatCode>
                <c:ptCount val="11"/>
                <c:pt idx="0">
                  <c:v>20288172</c:v>
                </c:pt>
                <c:pt idx="1">
                  <c:v>20506992</c:v>
                </c:pt>
                <c:pt idx="2">
                  <c:v>20725812</c:v>
                </c:pt>
                <c:pt idx="3">
                  <c:v>20944632.000000004</c:v>
                </c:pt>
                <c:pt idx="4">
                  <c:v>21163452</c:v>
                </c:pt>
                <c:pt idx="5">
                  <c:v>21382272</c:v>
                </c:pt>
                <c:pt idx="6">
                  <c:v>21601092.000000004</c:v>
                </c:pt>
                <c:pt idx="7">
                  <c:v>21819912</c:v>
                </c:pt>
                <c:pt idx="8">
                  <c:v>22038732.000000004</c:v>
                </c:pt>
                <c:pt idx="9">
                  <c:v>22257552.000000004</c:v>
                </c:pt>
                <c:pt idx="10">
                  <c:v>22476372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D7-904B-8DA0-C1116904D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709071"/>
        <c:axId val="1442710783"/>
      </c:barChart>
      <c:catAx>
        <c:axId val="144270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710783"/>
        <c:crosses val="autoZero"/>
        <c:auto val="1"/>
        <c:lblAlgn val="ctr"/>
        <c:lblOffset val="100"/>
        <c:noMultiLvlLbl val="0"/>
      </c:catAx>
      <c:valAx>
        <c:axId val="144271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70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488950</xdr:colOff>
      <xdr:row>18</xdr:row>
      <xdr:rowOff>107950</xdr:rowOff>
    </xdr:from>
    <xdr:to>
      <xdr:col>9</xdr:col>
      <xdr:colOff>603250</xdr:colOff>
      <xdr:row>32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4BD252-69A2-B869-E6B2-3DCD449CF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F1" sqref="F1:G1"/>
    </sheetView>
  </sheetViews>
  <sheetFormatPr baseColWidth="10" defaultColWidth="8.83203125" defaultRowHeight="15" x14ac:dyDescent="0.2"/>
  <cols>
    <col min="1" max="3" width="20.83203125" customWidth="1"/>
    <col min="4" max="4" width="23.5" customWidth="1"/>
    <col min="5" max="5" width="20.83203125" customWidth="1"/>
    <col min="6" max="7" width="18.1640625" customWidth="1"/>
    <col min="9" max="9" width="13.33203125" customWidth="1"/>
    <col min="10" max="10" width="10.1640625" bestFit="1" customWidth="1"/>
  </cols>
  <sheetData>
    <row r="1" spans="1:7" ht="21" x14ac:dyDescent="0.25">
      <c r="A1" s="14" t="s">
        <v>54</v>
      </c>
      <c r="F1" s="15" t="s">
        <v>1</v>
      </c>
      <c r="G1" s="15"/>
    </row>
    <row r="2" spans="1:7" x14ac:dyDescent="0.2">
      <c r="F2" s="1" t="s">
        <v>4</v>
      </c>
      <c r="G2" s="6">
        <f>B5*B7</f>
        <v>21870000</v>
      </c>
    </row>
    <row r="3" spans="1:7" x14ac:dyDescent="0.2">
      <c r="A3" s="13" t="s">
        <v>0</v>
      </c>
      <c r="B3" s="13"/>
      <c r="C3" s="13"/>
      <c r="D3" s="13"/>
      <c r="G3" s="7"/>
    </row>
    <row r="4" spans="1:7" x14ac:dyDescent="0.2">
      <c r="A4" s="8" t="s">
        <v>27</v>
      </c>
      <c r="B4" s="8" t="s">
        <v>28</v>
      </c>
      <c r="C4" s="8" t="s">
        <v>29</v>
      </c>
      <c r="D4" s="8" t="s">
        <v>30</v>
      </c>
      <c r="F4" s="12" t="s">
        <v>7</v>
      </c>
      <c r="G4" s="12"/>
    </row>
    <row r="5" spans="1:7" x14ac:dyDescent="0.2">
      <c r="A5" s="1" t="s">
        <v>3</v>
      </c>
      <c r="B5" s="2">
        <v>20000000</v>
      </c>
      <c r="C5" s="1" t="s">
        <v>31</v>
      </c>
      <c r="D5" s="1" t="s">
        <v>32</v>
      </c>
      <c r="F5" s="1" t="s">
        <v>9</v>
      </c>
      <c r="G5" s="6">
        <f>B5/(1+B9)</f>
        <v>19579050.416054819</v>
      </c>
    </row>
    <row r="6" spans="1:7" ht="17" x14ac:dyDescent="0.25">
      <c r="A6" s="1" t="s">
        <v>33</v>
      </c>
      <c r="B6" s="3">
        <v>1.0941000000000001</v>
      </c>
      <c r="C6" s="1" t="s">
        <v>34</v>
      </c>
      <c r="D6" s="1" t="s">
        <v>35</v>
      </c>
      <c r="F6" s="1" t="s">
        <v>11</v>
      </c>
      <c r="G6" s="6">
        <f>G5*B6</f>
        <v>21421439.060205579</v>
      </c>
    </row>
    <row r="7" spans="1:7" ht="17" x14ac:dyDescent="0.25">
      <c r="A7" s="1" t="s">
        <v>36</v>
      </c>
      <c r="B7" s="3">
        <v>1.0934999999999999</v>
      </c>
      <c r="C7" s="1" t="s">
        <v>34</v>
      </c>
      <c r="D7" s="1" t="s">
        <v>37</v>
      </c>
      <c r="F7" s="1" t="s">
        <v>13</v>
      </c>
      <c r="G7" s="6">
        <f>G6*(1+B8)</f>
        <v>22301860.205580026</v>
      </c>
    </row>
    <row r="8" spans="1:7" x14ac:dyDescent="0.2">
      <c r="A8" s="1" t="s">
        <v>8</v>
      </c>
      <c r="B8" s="3">
        <v>4.1099999999999998E-2</v>
      </c>
      <c r="C8" s="1" t="s">
        <v>38</v>
      </c>
      <c r="D8" s="1" t="s">
        <v>39</v>
      </c>
    </row>
    <row r="9" spans="1:7" x14ac:dyDescent="0.2">
      <c r="A9" s="1" t="s">
        <v>10</v>
      </c>
      <c r="B9" s="3">
        <v>2.1499999999999998E-2</v>
      </c>
      <c r="C9" s="1" t="s">
        <v>38</v>
      </c>
      <c r="D9" s="1" t="s">
        <v>40</v>
      </c>
      <c r="F9" s="12" t="s">
        <v>16</v>
      </c>
      <c r="G9" s="12"/>
    </row>
    <row r="10" spans="1:7" x14ac:dyDescent="0.2">
      <c r="A10" s="1" t="s">
        <v>12</v>
      </c>
      <c r="B10" s="3">
        <v>1</v>
      </c>
      <c r="C10" s="1" t="s">
        <v>41</v>
      </c>
      <c r="D10" s="1" t="s">
        <v>42</v>
      </c>
      <c r="F10" s="1" t="s">
        <v>18</v>
      </c>
      <c r="G10" s="1">
        <f>B6*(1+B8)/(1+B9)</f>
        <v>1.1150930102790015</v>
      </c>
    </row>
    <row r="11" spans="1:7" x14ac:dyDescent="0.2">
      <c r="A11" s="1" t="s">
        <v>14</v>
      </c>
      <c r="B11" s="3">
        <v>1.1606000000000001</v>
      </c>
      <c r="C11" s="1" t="s">
        <v>34</v>
      </c>
      <c r="D11" s="1" t="s">
        <v>43</v>
      </c>
    </row>
    <row r="12" spans="1:7" x14ac:dyDescent="0.2">
      <c r="A12" s="1" t="s">
        <v>15</v>
      </c>
      <c r="B12" s="3">
        <v>1.1606000000000001</v>
      </c>
      <c r="C12" s="1" t="s">
        <v>34</v>
      </c>
      <c r="D12" s="1" t="s">
        <v>44</v>
      </c>
      <c r="F12" s="12" t="s">
        <v>2</v>
      </c>
      <c r="G12" s="12"/>
    </row>
    <row r="13" spans="1:7" x14ac:dyDescent="0.2">
      <c r="A13" s="1" t="s">
        <v>17</v>
      </c>
      <c r="B13" s="3">
        <v>1.9E-2</v>
      </c>
      <c r="C13" s="1" t="s">
        <v>45</v>
      </c>
      <c r="D13" s="1" t="s">
        <v>46</v>
      </c>
      <c r="F13" s="1" t="s">
        <v>5</v>
      </c>
      <c r="G13" s="6">
        <f>B13*B5*(1+B8)</f>
        <v>395617.99999999994</v>
      </c>
    </row>
    <row r="14" spans="1:7" x14ac:dyDescent="0.2">
      <c r="A14" s="1" t="s">
        <v>19</v>
      </c>
      <c r="B14" s="3">
        <v>2.4E-2</v>
      </c>
      <c r="C14" s="1" t="s">
        <v>45</v>
      </c>
      <c r="D14" s="1" t="s">
        <v>47</v>
      </c>
      <c r="F14" s="1" t="s">
        <v>6</v>
      </c>
      <c r="G14" s="6">
        <f>B14*B5*(1+B8)</f>
        <v>499727.99999999994</v>
      </c>
    </row>
    <row r="20" spans="1:5" x14ac:dyDescent="0.2">
      <c r="A20" s="12" t="s">
        <v>20</v>
      </c>
      <c r="B20" s="12"/>
      <c r="C20" s="12"/>
      <c r="D20" s="12"/>
      <c r="E20" s="12"/>
    </row>
    <row r="21" spans="1:5" x14ac:dyDescent="0.2">
      <c r="A21" s="4" t="s">
        <v>21</v>
      </c>
      <c r="B21" s="4" t="s">
        <v>22</v>
      </c>
      <c r="C21" s="4" t="s">
        <v>23</v>
      </c>
      <c r="D21" s="4" t="s">
        <v>24</v>
      </c>
      <c r="E21" s="4" t="s">
        <v>25</v>
      </c>
    </row>
    <row r="22" spans="1:5" x14ac:dyDescent="0.2">
      <c r="A22" s="1">
        <f>B6*0.95</f>
        <v>1.0393950000000001</v>
      </c>
      <c r="B22" s="5">
        <f>B5*B7</f>
        <v>21870000</v>
      </c>
      <c r="C22" s="5">
        <f>G7</f>
        <v>22301860.205580026</v>
      </c>
      <c r="D22" s="5">
        <f>IF(A22&lt;B11,B11*B5,A22*B5)-G13</f>
        <v>22816382</v>
      </c>
      <c r="E22" s="5">
        <f>A22*B5-G14</f>
        <v>20288172</v>
      </c>
    </row>
    <row r="23" spans="1:5" x14ac:dyDescent="0.2">
      <c r="A23" s="1">
        <f>B6*0.96</f>
        <v>1.0503359999999999</v>
      </c>
      <c r="B23" s="5">
        <f>B5*B7</f>
        <v>21870000</v>
      </c>
      <c r="C23" s="5">
        <f>G7</f>
        <v>22301860.205580026</v>
      </c>
      <c r="D23" s="5">
        <f>IF(A23&lt;B11,B11*B5,A23*B5)-G13</f>
        <v>22816382</v>
      </c>
      <c r="E23" s="5">
        <f>A23*B5-G14</f>
        <v>20506992</v>
      </c>
    </row>
    <row r="24" spans="1:5" x14ac:dyDescent="0.2">
      <c r="A24" s="1">
        <f>B6*0.97</f>
        <v>1.061277</v>
      </c>
      <c r="B24" s="5">
        <f>B5*B7</f>
        <v>21870000</v>
      </c>
      <c r="C24" s="5">
        <f>G7</f>
        <v>22301860.205580026</v>
      </c>
      <c r="D24" s="5">
        <f>IF(A24&lt;B11,B11*B5,A24*B5)-G13</f>
        <v>22816382</v>
      </c>
      <c r="E24" s="5">
        <f>A24*B5-G14</f>
        <v>20725812</v>
      </c>
    </row>
    <row r="25" spans="1:5" x14ac:dyDescent="0.2">
      <c r="A25" s="1">
        <f>B6*0.98</f>
        <v>1.0722180000000001</v>
      </c>
      <c r="B25" s="5">
        <f>B5*B7</f>
        <v>21870000</v>
      </c>
      <c r="C25" s="5">
        <f>G7</f>
        <v>22301860.205580026</v>
      </c>
      <c r="D25" s="5">
        <f>IF(A25&lt;B11,B11*B5,A25*B5)-G13</f>
        <v>22816382</v>
      </c>
      <c r="E25" s="5">
        <f>A25*B5-G14</f>
        <v>20944632.000000004</v>
      </c>
    </row>
    <row r="26" spans="1:5" x14ac:dyDescent="0.2">
      <c r="A26" s="1">
        <f>B6*0.99</f>
        <v>1.083159</v>
      </c>
      <c r="B26" s="5">
        <f>B5*B7</f>
        <v>21870000</v>
      </c>
      <c r="C26" s="5">
        <f>G7</f>
        <v>22301860.205580026</v>
      </c>
      <c r="D26" s="5">
        <f>IF(A26&lt;B11,B11*B5,A26*B5)-G13</f>
        <v>22816382</v>
      </c>
      <c r="E26" s="5">
        <f>A26*B5-G14</f>
        <v>21163452</v>
      </c>
    </row>
    <row r="27" spans="1:5" x14ac:dyDescent="0.2">
      <c r="A27" s="1">
        <f>B6*1</f>
        <v>1.0941000000000001</v>
      </c>
      <c r="B27" s="5">
        <f>B5*B7</f>
        <v>21870000</v>
      </c>
      <c r="C27" s="5">
        <f>G7</f>
        <v>22301860.205580026</v>
      </c>
      <c r="D27" s="5">
        <f>IF(A27&lt;B11,B11*B5,A27*B5)-G13</f>
        <v>22816382</v>
      </c>
      <c r="E27" s="5">
        <f>A27*B5-G14</f>
        <v>21382272</v>
      </c>
    </row>
    <row r="28" spans="1:5" x14ac:dyDescent="0.2">
      <c r="A28" s="1">
        <f>B6*1.01</f>
        <v>1.1050410000000002</v>
      </c>
      <c r="B28" s="5">
        <f>B5*B7</f>
        <v>21870000</v>
      </c>
      <c r="C28" s="5">
        <f>G7</f>
        <v>22301860.205580026</v>
      </c>
      <c r="D28" s="5">
        <f>IF(A28&lt;B11,B11*B5,A28*B5)-G13</f>
        <v>22816382</v>
      </c>
      <c r="E28" s="5">
        <f>A28*B5-G14</f>
        <v>21601092.000000004</v>
      </c>
    </row>
    <row r="29" spans="1:5" x14ac:dyDescent="0.2">
      <c r="A29" s="1">
        <f>B6*1.02</f>
        <v>1.115982</v>
      </c>
      <c r="B29" s="5">
        <f>B5*B7</f>
        <v>21870000</v>
      </c>
      <c r="C29" s="5">
        <f>G7</f>
        <v>22301860.205580026</v>
      </c>
      <c r="D29" s="5">
        <f>IF(A29&lt;B11,B11*B5,A29*B5)-G13</f>
        <v>22816382</v>
      </c>
      <c r="E29" s="5">
        <f>A29*B5-G14</f>
        <v>21819912</v>
      </c>
    </row>
    <row r="30" spans="1:5" x14ac:dyDescent="0.2">
      <c r="A30" s="1">
        <f>B6*1.03</f>
        <v>1.1269230000000001</v>
      </c>
      <c r="B30" s="5">
        <f>B5*B7</f>
        <v>21870000</v>
      </c>
      <c r="C30" s="5">
        <f>G7</f>
        <v>22301860.205580026</v>
      </c>
      <c r="D30" s="5">
        <f>IF(A30&lt;B11,B11*B5,A30*B5)-G13</f>
        <v>22816382</v>
      </c>
      <c r="E30" s="5">
        <f>A30*B5-G14</f>
        <v>22038732.000000004</v>
      </c>
    </row>
    <row r="31" spans="1:5" x14ac:dyDescent="0.2">
      <c r="A31" s="1">
        <f>B6*1.04</f>
        <v>1.1378640000000002</v>
      </c>
      <c r="B31" s="5">
        <f>B5*B7</f>
        <v>21870000</v>
      </c>
      <c r="C31" s="5">
        <f>G7</f>
        <v>22301860.205580026</v>
      </c>
      <c r="D31" s="5">
        <f>IF(A31&lt;B11,B11*B5,A31*B5)-G13</f>
        <v>22816382</v>
      </c>
      <c r="E31" s="5">
        <f>A31*B5-G14</f>
        <v>22257552.000000004</v>
      </c>
    </row>
    <row r="32" spans="1:5" x14ac:dyDescent="0.2">
      <c r="A32" s="1">
        <f>B6*1.05</f>
        <v>1.1488050000000001</v>
      </c>
      <c r="B32" s="5">
        <f>B5*B7</f>
        <v>21870000</v>
      </c>
      <c r="C32" s="5">
        <f>G7</f>
        <v>22301860.205580026</v>
      </c>
      <c r="D32" s="5">
        <f>IF(A32&lt;B11,B11*B5,A32*B5)-G13</f>
        <v>22816382</v>
      </c>
      <c r="E32" s="5">
        <f>A32*B5-G14</f>
        <v>22476372</v>
      </c>
    </row>
  </sheetData>
  <mergeCells count="6">
    <mergeCell ref="A20:E20"/>
    <mergeCell ref="A3:D3"/>
    <mergeCell ref="F12:G12"/>
    <mergeCell ref="F1:G1"/>
    <mergeCell ref="F4:G4"/>
    <mergeCell ref="F9:G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11.6640625" customWidth="1"/>
  </cols>
  <sheetData>
    <row r="1" spans="1:2" ht="15" customHeight="1" x14ac:dyDescent="0.2">
      <c r="A1" s="9" t="s">
        <v>26</v>
      </c>
    </row>
    <row r="2" spans="1:2" ht="15" customHeight="1" x14ac:dyDescent="0.2">
      <c r="A2" s="11" t="s">
        <v>48</v>
      </c>
      <c r="B2" s="11"/>
    </row>
    <row r="3" spans="1:2" x14ac:dyDescent="0.2">
      <c r="A3" s="10" t="s">
        <v>49</v>
      </c>
    </row>
    <row r="4" spans="1:2" x14ac:dyDescent="0.2">
      <c r="A4" s="10" t="s">
        <v>50</v>
      </c>
    </row>
    <row r="5" spans="1:2" x14ac:dyDescent="0.2">
      <c r="A5" s="10" t="s">
        <v>51</v>
      </c>
    </row>
    <row r="6" spans="1:2" x14ac:dyDescent="0.2">
      <c r="A6" s="10" t="s">
        <v>52</v>
      </c>
    </row>
    <row r="7" spans="1:2" x14ac:dyDescent="0.2">
      <c r="A7" s="10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Bohden Pace</cp:lastModifiedBy>
  <dcterms:created xsi:type="dcterms:W3CDTF">2025-11-19T01:16:47Z</dcterms:created>
  <dcterms:modified xsi:type="dcterms:W3CDTF">2025-11-19T02:05:27Z</dcterms:modified>
</cp:coreProperties>
</file>