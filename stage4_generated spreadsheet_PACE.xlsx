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hdenpace/Downloads/"/>
    </mc:Choice>
  </mc:AlternateContent>
  <xr:revisionPtr revIDLastSave="0" documentId="8_{A2112870-CD37-F94A-AA7D-2F88753D728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X_Model" sheetId="1" r:id="rId1"/>
  </sheets>
  <definedNames>
    <definedName name="EUR_PV">FX_Model!$C$25</definedName>
    <definedName name="F_IRP">FX_Model!$D$29</definedName>
    <definedName name="F0_in">FX_Model!$C$6</definedName>
    <definedName name="FC_AMT">FX_Model!$C$4</definedName>
    <definedName name="FV_prem_call">FX_Model!$C$33</definedName>
    <definedName name="FV_prem_put">FX_Model!$C$32</definedName>
    <definedName name="K_CALL">FX_Model!$C$10</definedName>
    <definedName name="K_PUT">FX_Model!$C$9</definedName>
    <definedName name="PREM_CALL">FX_Model!$C$12</definedName>
    <definedName name="PREM_PUT">FX_Model!$C$11</definedName>
    <definedName name="R_FC">FX_Model!$C$8</definedName>
    <definedName name="R_USD">FX_Model!$C$7</definedName>
    <definedName name="S_T_list">FX_Model!$C$37:$C$47</definedName>
    <definedName name="S0_in">FX_Model!$C$5</definedName>
    <definedName name="T_DAYS">FX_Model!$C$13</definedName>
    <definedName name="T_YRS">FX_Model!$C$14</definedName>
    <definedName name="USD_call_list">FX_Model!$E$37:$E$47</definedName>
    <definedName name="USD_forward">FX_Model!$D$22</definedName>
    <definedName name="USD_forward_list">FX_Model!$F$37:$F$47</definedName>
    <definedName name="USD_mm">FX_Model!$D$27</definedName>
    <definedName name="USD_mm_list">FX_Model!$G$37:$G$47</definedName>
    <definedName name="USD_put_list">FX_Model!$D$37:$D$47</definedName>
    <definedName name="USD_today">FX_Model!$C$26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1" l="1"/>
  <c r="C75" i="1"/>
  <c r="C74" i="1"/>
  <c r="C68" i="1"/>
  <c r="C33" i="1"/>
  <c r="E39" i="1" s="1"/>
  <c r="C32" i="1"/>
  <c r="C78" i="1" s="1"/>
  <c r="D29" i="1"/>
  <c r="C67" i="1" s="1"/>
  <c r="C29" i="1"/>
  <c r="C25" i="1"/>
  <c r="C76" i="1" s="1"/>
  <c r="D22" i="1"/>
  <c r="F46" i="1" s="1"/>
  <c r="C22" i="1"/>
  <c r="E41" i="1" l="1"/>
  <c r="E43" i="1"/>
  <c r="E45" i="1"/>
  <c r="E47" i="1"/>
  <c r="F37" i="1"/>
  <c r="F39" i="1"/>
  <c r="F41" i="1"/>
  <c r="F43" i="1"/>
  <c r="F45" i="1"/>
  <c r="F47" i="1"/>
  <c r="E38" i="1"/>
  <c r="E40" i="1"/>
  <c r="E42" i="1"/>
  <c r="E44" i="1"/>
  <c r="E46" i="1"/>
  <c r="C69" i="1"/>
  <c r="C70" i="1"/>
  <c r="F38" i="1"/>
  <c r="F40" i="1"/>
  <c r="F42" i="1"/>
  <c r="F44" i="1"/>
  <c r="D37" i="1"/>
  <c r="D39" i="1"/>
  <c r="D41" i="1"/>
  <c r="D43" i="1"/>
  <c r="D45" i="1"/>
  <c r="D47" i="1"/>
  <c r="C26" i="1"/>
  <c r="E37" i="1"/>
  <c r="D38" i="1"/>
  <c r="D40" i="1"/>
  <c r="D42" i="1"/>
  <c r="D44" i="1"/>
  <c r="D46" i="1"/>
  <c r="D27" i="1" l="1"/>
  <c r="C27" i="1"/>
  <c r="G47" i="1" l="1"/>
  <c r="G46" i="1"/>
  <c r="G44" i="1"/>
  <c r="G42" i="1"/>
  <c r="G40" i="1"/>
  <c r="G38" i="1"/>
  <c r="G45" i="1"/>
  <c r="G43" i="1"/>
  <c r="G41" i="1"/>
  <c r="G39" i="1"/>
  <c r="G37" i="1"/>
</calcChain>
</file>

<file path=xl/sharedStrings.xml><?xml version="1.0" encoding="utf-8"?>
<sst xmlns="http://schemas.openxmlformats.org/spreadsheetml/2006/main" count="44" uniqueCount="42">
  <si>
    <t>Stage 4 - FX Hedging Model (Forward, Money Market, Options)</t>
  </si>
  <si>
    <t>Inputs (Named Ranges - YELLOW)</t>
  </si>
  <si>
    <t>FC_AMT</t>
  </si>
  <si>
    <t>S0_in</t>
  </si>
  <si>
    <t>F0_in</t>
  </si>
  <si>
    <t>R_USD</t>
  </si>
  <si>
    <t>R_FC</t>
  </si>
  <si>
    <t>K_PUT</t>
  </si>
  <si>
    <t>K_CALL</t>
  </si>
  <si>
    <t>PREM_PUT</t>
  </si>
  <si>
    <t>PREM_CALL</t>
  </si>
  <si>
    <t>T_DAYS</t>
  </si>
  <si>
    <t>T_YRS</t>
  </si>
  <si>
    <t>Assumptions (BLUE)</t>
  </si>
  <si>
    <t>All rates quoted simple annual (1-yr)</t>
  </si>
  <si>
    <t>Exchange rates recorded USD per EUR (direct quote)</t>
  </si>
  <si>
    <t>Option premiums paid upfront in USD at t=0 and compounded to t=1</t>
  </si>
  <si>
    <t>Forward Hedge</t>
  </si>
  <si>
    <t>USD_forward = FC_AMT × F0_in</t>
  </si>
  <si>
    <t>Money Market Hedge (3-step synthetic hedge)</t>
  </si>
  <si>
    <t>EUR_PV = FC_AMT / (1 + R_FC)</t>
  </si>
  <si>
    <t>USD_today = EUR_PV × S0_in</t>
  </si>
  <si>
    <t>USD_mm = USD_today × (1 + R_USD)</t>
  </si>
  <si>
    <t>IRP Implied Forward (F_IRP) = S0_in × (1 + R_USD) / (1 + R_FC)</t>
  </si>
  <si>
    <t>Option Hedge Calculations</t>
  </si>
  <si>
    <t>FV_prem_put = PREM_PUT × FC_AMT × (1 + R_USD)</t>
  </si>
  <si>
    <t>FV_prem_call = PREM_CALL × FC_AMT × (1 + R_USD)</t>
  </si>
  <si>
    <t>Sensitivity Table (S_T -&gt; USD outcomes)</t>
  </si>
  <si>
    <t>S_T</t>
  </si>
  <si>
    <t>USD_put</t>
  </si>
  <si>
    <t>USD_call</t>
  </si>
  <si>
    <t>USD_forward</t>
  </si>
  <si>
    <t>USD_mm</t>
  </si>
  <si>
    <t>Parity Validation</t>
  </si>
  <si>
    <t>F_IRP (named)</t>
  </si>
  <si>
    <t>Quoted F0_in (named)</t>
  </si>
  <si>
    <t>Difference (F0_in - F_IRP)</t>
  </si>
  <si>
    <t>Parity Match?</t>
  </si>
  <si>
    <t>Formula Map (selected key formulas):</t>
  </si>
  <si>
    <t>EUR_PV</t>
  </si>
  <si>
    <t>FV_prem_put</t>
  </si>
  <si>
    <t>USD_put (row 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</si>
</sst>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Hedge Outcomes vs S_T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USD_put</c:v>
          </c:tx>
          <c:marker>
            <c:symbol val="none"/>
          </c:marker>
          <c:cat>
            <c:numRef>
              <c:f>FX_Model!$C$37:$C$47</c:f>
              <c:numCache>
                <c:formatCode>0.0000</c:formatCode>
                <c:ptCount val="11"/>
                <c:pt idx="0">
                  <c:v>1.0393950000000001</c:v>
                </c:pt>
                <c:pt idx="1">
                  <c:v>1.0493950000000001</c:v>
                </c:pt>
                <c:pt idx="2">
                  <c:v>1.0593950000000001</c:v>
                </c:pt>
                <c:pt idx="3">
                  <c:v>1.0693950000000001</c:v>
                </c:pt>
                <c:pt idx="4">
                  <c:v>1.0793950000000001</c:v>
                </c:pt>
                <c:pt idx="5">
                  <c:v>1.0893949999999999</c:v>
                </c:pt>
                <c:pt idx="6">
                  <c:v>1.0993949999999999</c:v>
                </c:pt>
                <c:pt idx="7">
                  <c:v>1.1093949999999999</c:v>
                </c:pt>
                <c:pt idx="8">
                  <c:v>1.1193949999999999</c:v>
                </c:pt>
                <c:pt idx="9">
                  <c:v>1.1293949999999999</c:v>
                </c:pt>
                <c:pt idx="10">
                  <c:v>1.1393949999999999</c:v>
                </c:pt>
              </c:numCache>
            </c:numRef>
          </c:cat>
          <c:val>
            <c:numRef>
              <c:f>FX_Model!$D$37:$D$47</c:f>
              <c:numCache>
                <c:formatCode>General</c:formatCode>
                <c:ptCount val="11"/>
                <c:pt idx="0">
                  <c:v>22816382</c:v>
                </c:pt>
                <c:pt idx="1">
                  <c:v>22816382</c:v>
                </c:pt>
                <c:pt idx="2">
                  <c:v>22816382</c:v>
                </c:pt>
                <c:pt idx="3">
                  <c:v>22816382.000000004</c:v>
                </c:pt>
                <c:pt idx="4">
                  <c:v>22816382.000000004</c:v>
                </c:pt>
                <c:pt idx="5">
                  <c:v>22816382</c:v>
                </c:pt>
                <c:pt idx="6">
                  <c:v>22816382</c:v>
                </c:pt>
                <c:pt idx="7">
                  <c:v>22816382.000000004</c:v>
                </c:pt>
                <c:pt idx="8">
                  <c:v>22816382.000000004</c:v>
                </c:pt>
                <c:pt idx="9">
                  <c:v>22816382.000000004</c:v>
                </c:pt>
                <c:pt idx="10">
                  <c:v>22816382.000000004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2-C04A-AC6D-AE62F068FB2C}"/>
            </c:ext>
          </c:extLst>
        </c:ser>
        <c:ser>
          <c:idx val="1"/>
          <c:order val="1"/>
          <c:tx>
            <c:v>USD_call</c:v>
          </c:tx>
          <c:marker>
            <c:symbol val="none"/>
          </c:marker>
          <c:cat>
            <c:numRef>
              <c:f>FX_Model!$C$37:$C$47</c:f>
              <c:numCache>
                <c:formatCode>0.0000</c:formatCode>
                <c:ptCount val="11"/>
                <c:pt idx="0">
                  <c:v>1.0393950000000001</c:v>
                </c:pt>
                <c:pt idx="1">
                  <c:v>1.0493950000000001</c:v>
                </c:pt>
                <c:pt idx="2">
                  <c:v>1.0593950000000001</c:v>
                </c:pt>
                <c:pt idx="3">
                  <c:v>1.0693950000000001</c:v>
                </c:pt>
                <c:pt idx="4">
                  <c:v>1.0793950000000001</c:v>
                </c:pt>
                <c:pt idx="5">
                  <c:v>1.0893949999999999</c:v>
                </c:pt>
                <c:pt idx="6">
                  <c:v>1.0993949999999999</c:v>
                </c:pt>
                <c:pt idx="7">
                  <c:v>1.1093949999999999</c:v>
                </c:pt>
                <c:pt idx="8">
                  <c:v>1.1193949999999999</c:v>
                </c:pt>
                <c:pt idx="9">
                  <c:v>1.1293949999999999</c:v>
                </c:pt>
                <c:pt idx="10">
                  <c:v>1.1393949999999999</c:v>
                </c:pt>
              </c:numCache>
            </c:numRef>
          </c:cat>
          <c:val>
            <c:numRef>
              <c:f>FX_Model!$E$37:$E$47</c:f>
              <c:numCache>
                <c:formatCode>General</c:formatCode>
                <c:ptCount val="11"/>
                <c:pt idx="0">
                  <c:v>20288172</c:v>
                </c:pt>
                <c:pt idx="1">
                  <c:v>20488172</c:v>
                </c:pt>
                <c:pt idx="2">
                  <c:v>20688172</c:v>
                </c:pt>
                <c:pt idx="3">
                  <c:v>20888172.000000004</c:v>
                </c:pt>
                <c:pt idx="4">
                  <c:v>21088172.000000004</c:v>
                </c:pt>
                <c:pt idx="5">
                  <c:v>21288171.999999996</c:v>
                </c:pt>
                <c:pt idx="6">
                  <c:v>21488171.999999996</c:v>
                </c:pt>
                <c:pt idx="7">
                  <c:v>21688172</c:v>
                </c:pt>
                <c:pt idx="8">
                  <c:v>21888172</c:v>
                </c:pt>
                <c:pt idx="9">
                  <c:v>22088172</c:v>
                </c:pt>
                <c:pt idx="10">
                  <c:v>22288172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2-C04A-AC6D-AE62F068FB2C}"/>
            </c:ext>
          </c:extLst>
        </c:ser>
        <c:ser>
          <c:idx val="2"/>
          <c:order val="2"/>
          <c:tx>
            <c:v>USD_forward</c:v>
          </c:tx>
          <c:marker>
            <c:symbol val="none"/>
          </c:marker>
          <c:cat>
            <c:numRef>
              <c:f>FX_Model!$C$37:$C$47</c:f>
              <c:numCache>
                <c:formatCode>0.0000</c:formatCode>
                <c:ptCount val="11"/>
                <c:pt idx="0">
                  <c:v>1.0393950000000001</c:v>
                </c:pt>
                <c:pt idx="1">
                  <c:v>1.0493950000000001</c:v>
                </c:pt>
                <c:pt idx="2">
                  <c:v>1.0593950000000001</c:v>
                </c:pt>
                <c:pt idx="3">
                  <c:v>1.0693950000000001</c:v>
                </c:pt>
                <c:pt idx="4">
                  <c:v>1.0793950000000001</c:v>
                </c:pt>
                <c:pt idx="5">
                  <c:v>1.0893949999999999</c:v>
                </c:pt>
                <c:pt idx="6">
                  <c:v>1.0993949999999999</c:v>
                </c:pt>
                <c:pt idx="7">
                  <c:v>1.1093949999999999</c:v>
                </c:pt>
                <c:pt idx="8">
                  <c:v>1.1193949999999999</c:v>
                </c:pt>
                <c:pt idx="9">
                  <c:v>1.1293949999999999</c:v>
                </c:pt>
                <c:pt idx="10">
                  <c:v>1.1393949999999999</c:v>
                </c:pt>
              </c:numCache>
            </c:numRef>
          </c:cat>
          <c:val>
            <c:numRef>
              <c:f>FX_Model!$F$37:$F$47</c:f>
              <c:numCache>
                <c:formatCode>General</c:formatCode>
                <c:ptCount val="11"/>
                <c:pt idx="0">
                  <c:v>21870000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92-C04A-AC6D-AE62F068FB2C}"/>
            </c:ext>
          </c:extLst>
        </c:ser>
        <c:ser>
          <c:idx val="3"/>
          <c:order val="3"/>
          <c:tx>
            <c:v>USD_mm</c:v>
          </c:tx>
          <c:marker>
            <c:symbol val="none"/>
          </c:marker>
          <c:cat>
            <c:numRef>
              <c:f>FX_Model!$C$37:$C$47</c:f>
              <c:numCache>
                <c:formatCode>0.0000</c:formatCode>
                <c:ptCount val="11"/>
                <c:pt idx="0">
                  <c:v>1.0393950000000001</c:v>
                </c:pt>
                <c:pt idx="1">
                  <c:v>1.0493950000000001</c:v>
                </c:pt>
                <c:pt idx="2">
                  <c:v>1.0593950000000001</c:v>
                </c:pt>
                <c:pt idx="3">
                  <c:v>1.0693950000000001</c:v>
                </c:pt>
                <c:pt idx="4">
                  <c:v>1.0793950000000001</c:v>
                </c:pt>
                <c:pt idx="5">
                  <c:v>1.0893949999999999</c:v>
                </c:pt>
                <c:pt idx="6">
                  <c:v>1.0993949999999999</c:v>
                </c:pt>
                <c:pt idx="7">
                  <c:v>1.1093949999999999</c:v>
                </c:pt>
                <c:pt idx="8">
                  <c:v>1.1193949999999999</c:v>
                </c:pt>
                <c:pt idx="9">
                  <c:v>1.1293949999999999</c:v>
                </c:pt>
                <c:pt idx="10">
                  <c:v>1.1393949999999999</c:v>
                </c:pt>
              </c:numCache>
            </c:numRef>
          </c:cat>
          <c:val>
            <c:numRef>
              <c:f>FX_Model!$G$37:$G$47</c:f>
              <c:numCache>
                <c:formatCode>General</c:formatCode>
                <c:ptCount val="11"/>
                <c:pt idx="0">
                  <c:v>22301860.205580026</c:v>
                </c:pt>
                <c:pt idx="1">
                  <c:v>22301860.205580026</c:v>
                </c:pt>
                <c:pt idx="2">
                  <c:v>22301860.205580026</c:v>
                </c:pt>
                <c:pt idx="3">
                  <c:v>22301860.205580026</c:v>
                </c:pt>
                <c:pt idx="4">
                  <c:v>22301860.205580026</c:v>
                </c:pt>
                <c:pt idx="5">
                  <c:v>22301860.205580026</c:v>
                </c:pt>
                <c:pt idx="6">
                  <c:v>22301860.205580026</c:v>
                </c:pt>
                <c:pt idx="7">
                  <c:v>22301860.205580026</c:v>
                </c:pt>
                <c:pt idx="8">
                  <c:v>22301860.205580026</c:v>
                </c:pt>
                <c:pt idx="9">
                  <c:v>22301860.205580026</c:v>
                </c:pt>
                <c:pt idx="10">
                  <c:v>22301860.205580026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92-C04A-AC6D-AE62F068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 (USD/EUR)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49</xdr:row>
      <xdr:rowOff>0</xdr:rowOff>
    </xdr:from>
    <xdr:to>
      <xdr:col>5</xdr:col>
      <xdr:colOff>1066800</xdr:colOff>
      <xdr:row>66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8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2.6640625" customWidth="1"/>
    <col min="2" max="2" width="30.6640625" customWidth="1"/>
    <col min="3" max="10" width="18.6640625" customWidth="1"/>
  </cols>
  <sheetData>
    <row r="1" spans="2:3" ht="19" x14ac:dyDescent="0.25">
      <c r="B1" s="1" t="s">
        <v>0</v>
      </c>
    </row>
    <row r="3" spans="2:3" x14ac:dyDescent="0.2">
      <c r="B3" s="2" t="s">
        <v>1</v>
      </c>
    </row>
    <row r="4" spans="2:3" x14ac:dyDescent="0.2">
      <c r="B4" s="2" t="s">
        <v>2</v>
      </c>
      <c r="C4" s="3">
        <v>20000000</v>
      </c>
    </row>
    <row r="5" spans="2:3" x14ac:dyDescent="0.2">
      <c r="B5" s="2" t="s">
        <v>3</v>
      </c>
      <c r="C5" s="3">
        <v>1.0941000000000001</v>
      </c>
    </row>
    <row r="6" spans="2:3" x14ac:dyDescent="0.2">
      <c r="B6" s="2" t="s">
        <v>4</v>
      </c>
      <c r="C6" s="3">
        <v>1.0934999999999999</v>
      </c>
    </row>
    <row r="7" spans="2:3" x14ac:dyDescent="0.2">
      <c r="B7" s="2" t="s">
        <v>5</v>
      </c>
      <c r="C7" s="3">
        <v>4.1099999999999998E-2</v>
      </c>
    </row>
    <row r="8" spans="2:3" x14ac:dyDescent="0.2">
      <c r="B8" s="2" t="s">
        <v>6</v>
      </c>
      <c r="C8" s="3">
        <v>2.1499999999999998E-2</v>
      </c>
    </row>
    <row r="9" spans="2:3" x14ac:dyDescent="0.2">
      <c r="B9" s="2" t="s">
        <v>7</v>
      </c>
      <c r="C9" s="3">
        <v>1.1606000000000001</v>
      </c>
    </row>
    <row r="10" spans="2:3" x14ac:dyDescent="0.2">
      <c r="B10" s="2" t="s">
        <v>8</v>
      </c>
      <c r="C10" s="3">
        <v>1.1606000000000001</v>
      </c>
    </row>
    <row r="11" spans="2:3" x14ac:dyDescent="0.2">
      <c r="B11" s="2" t="s">
        <v>9</v>
      </c>
      <c r="C11" s="3">
        <v>1.9E-2</v>
      </c>
    </row>
    <row r="12" spans="2:3" x14ac:dyDescent="0.2">
      <c r="B12" s="2" t="s">
        <v>10</v>
      </c>
      <c r="C12" s="3">
        <v>2.4E-2</v>
      </c>
    </row>
    <row r="13" spans="2:3" x14ac:dyDescent="0.2">
      <c r="B13" s="2" t="s">
        <v>11</v>
      </c>
      <c r="C13" s="3">
        <v>365</v>
      </c>
    </row>
    <row r="14" spans="2:3" x14ac:dyDescent="0.2">
      <c r="B14" s="2" t="s">
        <v>12</v>
      </c>
      <c r="C14" s="3">
        <v>1</v>
      </c>
    </row>
    <row r="16" spans="2:3" x14ac:dyDescent="0.2">
      <c r="B16" s="2" t="s">
        <v>13</v>
      </c>
    </row>
    <row r="17" spans="2:4" x14ac:dyDescent="0.2">
      <c r="B17" s="4" t="s">
        <v>14</v>
      </c>
    </row>
    <row r="18" spans="2:4" x14ac:dyDescent="0.2">
      <c r="B18" s="4" t="s">
        <v>15</v>
      </c>
    </row>
    <row r="19" spans="2:4" x14ac:dyDescent="0.2">
      <c r="B19" s="4" t="s">
        <v>16</v>
      </c>
    </row>
    <row r="21" spans="2:4" x14ac:dyDescent="0.2">
      <c r="B21" s="2" t="s">
        <v>17</v>
      </c>
    </row>
    <row r="22" spans="2:4" x14ac:dyDescent="0.2">
      <c r="B22" s="2" t="s">
        <v>18</v>
      </c>
      <c r="C22" s="5">
        <f>FC_AMT * F0_in</f>
        <v>21870000</v>
      </c>
      <c r="D22" s="6">
        <f>FC_AMT * F0_in</f>
        <v>21870000</v>
      </c>
    </row>
    <row r="24" spans="2:4" x14ac:dyDescent="0.2">
      <c r="B24" s="2" t="s">
        <v>19</v>
      </c>
    </row>
    <row r="25" spans="2:4" x14ac:dyDescent="0.2">
      <c r="B25" s="2" t="s">
        <v>20</v>
      </c>
      <c r="C25" s="5">
        <f>FC_AMT / (1 + R_FC)</f>
        <v>19579050.416054819</v>
      </c>
    </row>
    <row r="26" spans="2:4" x14ac:dyDescent="0.2">
      <c r="B26" s="2" t="s">
        <v>21</v>
      </c>
      <c r="C26" s="5">
        <f>EUR_PV * S0_in</f>
        <v>21421439.060205579</v>
      </c>
    </row>
    <row r="27" spans="2:4" x14ac:dyDescent="0.2">
      <c r="B27" s="2" t="s">
        <v>22</v>
      </c>
      <c r="C27" s="5">
        <f>USD_today * (1 + R_USD)</f>
        <v>22301860.205580026</v>
      </c>
      <c r="D27" s="6">
        <f>USD_today * (1 + R_USD)</f>
        <v>22301860.205580026</v>
      </c>
    </row>
    <row r="29" spans="2:4" x14ac:dyDescent="0.2">
      <c r="B29" s="2" t="s">
        <v>23</v>
      </c>
      <c r="C29" s="5">
        <f>S0_in * (1 + R_USD) / (1 + R_FC)</f>
        <v>1.1150930102790015</v>
      </c>
      <c r="D29" s="6">
        <f>S0_in * (1 + R_USD) / (1 + R_FC)</f>
        <v>1.1150930102790015</v>
      </c>
    </row>
    <row r="31" spans="2:4" x14ac:dyDescent="0.2">
      <c r="B31" s="2" t="s">
        <v>24</v>
      </c>
    </row>
    <row r="32" spans="2:4" x14ac:dyDescent="0.2">
      <c r="B32" s="2" t="s">
        <v>25</v>
      </c>
      <c r="C32" s="5">
        <f>PREM_PUT * FC_AMT * (1 + R_USD)</f>
        <v>395617.99999999994</v>
      </c>
    </row>
    <row r="33" spans="2:7" x14ac:dyDescent="0.2">
      <c r="B33" s="2" t="s">
        <v>26</v>
      </c>
      <c r="C33" s="5">
        <f>PREM_CALL * FC_AMT * (1 + R_USD)</f>
        <v>499727.99999999994</v>
      </c>
    </row>
    <row r="35" spans="2:7" x14ac:dyDescent="0.2">
      <c r="B35" s="2" t="s">
        <v>27</v>
      </c>
    </row>
    <row r="36" spans="2:7" x14ac:dyDescent="0.2">
      <c r="B36" s="2" t="s">
        <v>28</v>
      </c>
      <c r="C36" s="2" t="s">
        <v>29</v>
      </c>
      <c r="D36" s="2" t="s">
        <v>30</v>
      </c>
      <c r="E36" s="2" t="s">
        <v>31</v>
      </c>
      <c r="F36" s="2" t="s">
        <v>32</v>
      </c>
    </row>
    <row r="37" spans="2:7" x14ac:dyDescent="0.2">
      <c r="C37" s="7">
        <v>1.0393950000000001</v>
      </c>
      <c r="D37" s="5">
        <f t="shared" ref="D37:D47" si="0">FC_AMT * C37 + MAX(K_PUT - C37, 0) * FC_AMT - FV_prem_put</f>
        <v>22816382</v>
      </c>
      <c r="E37" s="5">
        <f t="shared" ref="E37:E47" si="1">FC_AMT * C37 - FV_prem_call</f>
        <v>20288172</v>
      </c>
      <c r="F37" s="6">
        <f t="shared" ref="F37:F47" si="2">USD_forward</f>
        <v>21870000</v>
      </c>
      <c r="G37" s="6">
        <f t="shared" ref="G37:G47" si="3">USD_mm</f>
        <v>22301860.205580026</v>
      </c>
    </row>
    <row r="38" spans="2:7" x14ac:dyDescent="0.2">
      <c r="C38" s="7">
        <v>1.0493950000000001</v>
      </c>
      <c r="D38" s="5">
        <f t="shared" si="0"/>
        <v>22816382</v>
      </c>
      <c r="E38" s="5">
        <f t="shared" si="1"/>
        <v>20488172</v>
      </c>
      <c r="F38" s="6">
        <f t="shared" si="2"/>
        <v>21870000</v>
      </c>
      <c r="G38" s="6">
        <f t="shared" si="3"/>
        <v>22301860.205580026</v>
      </c>
    </row>
    <row r="39" spans="2:7" x14ac:dyDescent="0.2">
      <c r="C39" s="7">
        <v>1.0593950000000001</v>
      </c>
      <c r="D39" s="5">
        <f t="shared" si="0"/>
        <v>22816382</v>
      </c>
      <c r="E39" s="5">
        <f t="shared" si="1"/>
        <v>20688172</v>
      </c>
      <c r="F39" s="6">
        <f t="shared" si="2"/>
        <v>21870000</v>
      </c>
      <c r="G39" s="6">
        <f t="shared" si="3"/>
        <v>22301860.205580026</v>
      </c>
    </row>
    <row r="40" spans="2:7" x14ac:dyDescent="0.2">
      <c r="C40" s="7">
        <v>1.0693950000000001</v>
      </c>
      <c r="D40" s="5">
        <f t="shared" si="0"/>
        <v>22816382.000000004</v>
      </c>
      <c r="E40" s="5">
        <f t="shared" si="1"/>
        <v>20888172.000000004</v>
      </c>
      <c r="F40" s="6">
        <f t="shared" si="2"/>
        <v>21870000</v>
      </c>
      <c r="G40" s="6">
        <f t="shared" si="3"/>
        <v>22301860.205580026</v>
      </c>
    </row>
    <row r="41" spans="2:7" x14ac:dyDescent="0.2">
      <c r="C41" s="7">
        <v>1.0793950000000001</v>
      </c>
      <c r="D41" s="5">
        <f t="shared" si="0"/>
        <v>22816382.000000004</v>
      </c>
      <c r="E41" s="5">
        <f t="shared" si="1"/>
        <v>21088172.000000004</v>
      </c>
      <c r="F41" s="6">
        <f t="shared" si="2"/>
        <v>21870000</v>
      </c>
      <c r="G41" s="6">
        <f t="shared" si="3"/>
        <v>22301860.205580026</v>
      </c>
    </row>
    <row r="42" spans="2:7" x14ac:dyDescent="0.2">
      <c r="C42" s="7">
        <v>1.0893949999999999</v>
      </c>
      <c r="D42" s="5">
        <f t="shared" si="0"/>
        <v>22816382</v>
      </c>
      <c r="E42" s="5">
        <f t="shared" si="1"/>
        <v>21288171.999999996</v>
      </c>
      <c r="F42" s="6">
        <f t="shared" si="2"/>
        <v>21870000</v>
      </c>
      <c r="G42" s="6">
        <f t="shared" si="3"/>
        <v>22301860.205580026</v>
      </c>
    </row>
    <row r="43" spans="2:7" x14ac:dyDescent="0.2">
      <c r="C43" s="7">
        <v>1.0993949999999999</v>
      </c>
      <c r="D43" s="5">
        <f t="shared" si="0"/>
        <v>22816382</v>
      </c>
      <c r="E43" s="5">
        <f t="shared" si="1"/>
        <v>21488171.999999996</v>
      </c>
      <c r="F43" s="6">
        <f t="shared" si="2"/>
        <v>21870000</v>
      </c>
      <c r="G43" s="6">
        <f t="shared" si="3"/>
        <v>22301860.205580026</v>
      </c>
    </row>
    <row r="44" spans="2:7" x14ac:dyDescent="0.2">
      <c r="C44" s="7">
        <v>1.1093949999999999</v>
      </c>
      <c r="D44" s="5">
        <f t="shared" si="0"/>
        <v>22816382.000000004</v>
      </c>
      <c r="E44" s="5">
        <f t="shared" si="1"/>
        <v>21688172</v>
      </c>
      <c r="F44" s="6">
        <f t="shared" si="2"/>
        <v>21870000</v>
      </c>
      <c r="G44" s="6">
        <f t="shared" si="3"/>
        <v>22301860.205580026</v>
      </c>
    </row>
    <row r="45" spans="2:7" x14ac:dyDescent="0.2">
      <c r="C45" s="7">
        <v>1.1193949999999999</v>
      </c>
      <c r="D45" s="5">
        <f t="shared" si="0"/>
        <v>22816382.000000004</v>
      </c>
      <c r="E45" s="5">
        <f t="shared" si="1"/>
        <v>21888172</v>
      </c>
      <c r="F45" s="6">
        <f t="shared" si="2"/>
        <v>21870000</v>
      </c>
      <c r="G45" s="6">
        <f t="shared" si="3"/>
        <v>22301860.205580026</v>
      </c>
    </row>
    <row r="46" spans="2:7" x14ac:dyDescent="0.2">
      <c r="C46" s="7">
        <v>1.1293949999999999</v>
      </c>
      <c r="D46" s="5">
        <f t="shared" si="0"/>
        <v>22816382.000000004</v>
      </c>
      <c r="E46" s="5">
        <f t="shared" si="1"/>
        <v>22088172</v>
      </c>
      <c r="F46" s="6">
        <f t="shared" si="2"/>
        <v>21870000</v>
      </c>
      <c r="G46" s="6">
        <f t="shared" si="3"/>
        <v>22301860.205580026</v>
      </c>
    </row>
    <row r="47" spans="2:7" x14ac:dyDescent="0.2">
      <c r="C47" s="7">
        <v>1.1393949999999999</v>
      </c>
      <c r="D47" s="5">
        <f t="shared" si="0"/>
        <v>22816382.000000004</v>
      </c>
      <c r="E47" s="5">
        <f t="shared" si="1"/>
        <v>22288172</v>
      </c>
      <c r="F47" s="6">
        <f t="shared" si="2"/>
        <v>21870000</v>
      </c>
      <c r="G47" s="6">
        <f t="shared" si="3"/>
        <v>22301860.205580026</v>
      </c>
    </row>
    <row r="66" spans="2:3" x14ac:dyDescent="0.2">
      <c r="B66" s="2" t="s">
        <v>33</v>
      </c>
    </row>
    <row r="67" spans="2:3" x14ac:dyDescent="0.2">
      <c r="B67" s="2" t="s">
        <v>34</v>
      </c>
      <c r="C67" s="5">
        <f>F_IRP</f>
        <v>1.1150930102790015</v>
      </c>
    </row>
    <row r="68" spans="2:3" x14ac:dyDescent="0.2">
      <c r="B68" s="2" t="s">
        <v>35</v>
      </c>
      <c r="C68" s="5">
        <f>F0_in</f>
        <v>1.0934999999999999</v>
      </c>
    </row>
    <row r="69" spans="2:3" x14ac:dyDescent="0.2">
      <c r="B69" s="2" t="s">
        <v>36</v>
      </c>
      <c r="C69" s="6">
        <f>F0_in - F_IRP</f>
        <v>-2.1593010279001623E-2</v>
      </c>
    </row>
    <row r="70" spans="2:3" x14ac:dyDescent="0.2">
      <c r="B70" s="2" t="s">
        <v>37</v>
      </c>
      <c r="C70" s="6" t="str">
        <f>IF(ABS(F0_in - F_IRP) &lt; 0.0001, "MATCH", "MISMATCH")</f>
        <v>MISMATCH</v>
      </c>
    </row>
    <row r="73" spans="2:3" x14ac:dyDescent="0.2">
      <c r="B73" s="2" t="s">
        <v>38</v>
      </c>
    </row>
    <row r="74" spans="2:3" x14ac:dyDescent="0.2">
      <c r="B74" s="2" t="s">
        <v>31</v>
      </c>
      <c r="C74" s="8">
        <f>FC_AMT * F0_in</f>
        <v>21870000</v>
      </c>
    </row>
    <row r="75" spans="2:3" x14ac:dyDescent="0.2">
      <c r="B75" s="2" t="s">
        <v>39</v>
      </c>
      <c r="C75" s="8">
        <f>FC_AMT / (1 + R_FC)</f>
        <v>19579050.416054819</v>
      </c>
    </row>
    <row r="76" spans="2:3" x14ac:dyDescent="0.2">
      <c r="B76" s="2" t="s">
        <v>32</v>
      </c>
      <c r="C76" s="8">
        <f>EUR_PV * S0_in * (1 + R_USD)</f>
        <v>22301860.205580026</v>
      </c>
    </row>
    <row r="77" spans="2:3" x14ac:dyDescent="0.2">
      <c r="B77" s="2" t="s">
        <v>40</v>
      </c>
      <c r="C77" s="8">
        <f>PREM_PUT * FC_AMT * (1 + R_USD)</f>
        <v>395617.99999999994</v>
      </c>
    </row>
    <row r="78" spans="2:3" x14ac:dyDescent="0.2">
      <c r="B78" s="2" t="s">
        <v>41</v>
      </c>
      <c r="C78" s="8" t="e">
        <f>FC_AMT * S_T + MAX(K_PUT - S_T, 0)*FC_AMT - FV_prem_put</f>
        <v>#NAME?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FX_Model</vt:lpstr>
      <vt:lpstr>EUR_PV</vt:lpstr>
      <vt:lpstr>F_IRP</vt:lpstr>
      <vt:lpstr>F0_in</vt:lpstr>
      <vt:lpstr>FC_AMT</vt:lpstr>
      <vt:lpstr>FV_prem_call</vt:lpstr>
      <vt:lpstr>FV_prem_put</vt:lpstr>
      <vt:lpstr>K_CALL</vt:lpstr>
      <vt:lpstr>K_PUT</vt:lpstr>
      <vt:lpstr>PREM_CALL</vt:lpstr>
      <vt:lpstr>PREM_PUT</vt:lpstr>
      <vt:lpstr>R_FC</vt:lpstr>
      <vt:lpstr>R_USD</vt:lpstr>
      <vt:lpstr>S_T_list</vt:lpstr>
      <vt:lpstr>S0_in</vt:lpstr>
      <vt:lpstr>T_DAYS</vt:lpstr>
      <vt:lpstr>T_YRS</vt:lpstr>
      <vt:lpstr>USD_call_list</vt:lpstr>
      <vt:lpstr>USD_forward</vt:lpstr>
      <vt:lpstr>USD_forward_list</vt:lpstr>
      <vt:lpstr>USD_mm</vt:lpstr>
      <vt:lpstr>USD_mm_list</vt:lpstr>
      <vt:lpstr>USD_put_list</vt:lpstr>
      <vt:lpstr>USD_today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Bohden Pace</cp:lastModifiedBy>
  <dcterms:created xsi:type="dcterms:W3CDTF">2025-12-05T01:48:20Z</dcterms:created>
  <dcterms:modified xsi:type="dcterms:W3CDTF">2025-12-05T01:58:50Z</dcterms:modified>
</cp:coreProperties>
</file>